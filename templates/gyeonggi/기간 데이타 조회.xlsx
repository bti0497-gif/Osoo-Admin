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OneDrive\바탕 화면\기본양식\"/>
    </mc:Choice>
  </mc:AlternateContent>
  <xr:revisionPtr revIDLastSave="0" documentId="13_ncr:1_{129E9B15-6E97-4F21-BF58-E926737C6E6E}" xr6:coauthVersionLast="47" xr6:coauthVersionMax="47" xr10:uidLastSave="{00000000-0000-0000-0000-000000000000}"/>
  <bookViews>
    <workbookView xWindow="28680" yWindow="-5970" windowWidth="29040" windowHeight="15720" xr2:uid="{1CCF3751-6457-4516-BF0B-E9B650B5CCFA}"/>
  </bookViews>
  <sheets>
    <sheet name="현장명" sheetId="1" r:id="rId1"/>
  </sheets>
  <definedNames>
    <definedName name="년도">현장명!$C$2</definedName>
    <definedName name="방류10월">현장명!$V$5:$V$35</definedName>
    <definedName name="방류11월">현장명!$X$5:$X$34</definedName>
    <definedName name="방류12월">현장명!$Z$5:$Z$35</definedName>
    <definedName name="방류1월">현장명!$D$5:$D$35</definedName>
    <definedName name="방류2월">현장명!$F$5:$F$33</definedName>
    <definedName name="방류3월">현장명!$H$5:$H$35</definedName>
    <definedName name="방류4월">현장명!$J$5:$J$34</definedName>
    <definedName name="방류5월">현장명!$L$5:$L$35</definedName>
    <definedName name="방류6월">현장명!$N$5:$N$34</definedName>
    <definedName name="방류7월">현장명!$P$5:$P$35</definedName>
    <definedName name="방류8월">현장명!$R$5:$R$35</definedName>
    <definedName name="방류9월">현장명!$T$5:$T$34</definedName>
    <definedName name="수10월1회">현장명!$U$45:$U$49</definedName>
    <definedName name="수10월2회">현장명!$V$45:$V$49</definedName>
    <definedName name="수11월1회">현장명!$W$45:$W$49</definedName>
    <definedName name="수11월2회">현장명!$X$45:$X$49</definedName>
    <definedName name="수12월1회">현장명!$Y$45:$Y$49</definedName>
    <definedName name="수12월2회">현장명!$Z$45:$Z$49</definedName>
    <definedName name="수1월1회">현장명!$C$45:$C$49</definedName>
    <definedName name="수1월2회">현장명!$D$45:$D$49</definedName>
    <definedName name="수2월1회">현장명!$E$45:$E$49</definedName>
    <definedName name="수2월2회">현장명!$F$45:$F$49</definedName>
    <definedName name="수3월1회">현장명!$G$45:$G$49</definedName>
    <definedName name="수3월2회">현장명!$H$45:$H$49</definedName>
    <definedName name="수4월1회">현장명!$I$45:$I$49</definedName>
    <definedName name="수4월2회">현장명!$J$45:$J$49</definedName>
    <definedName name="수5월1회">현장명!$K$45:$K$49</definedName>
    <definedName name="수5월2회">현장명!$L$45:$L$49</definedName>
    <definedName name="수6월1회">현장명!$M$45:$M$49</definedName>
    <definedName name="수6월2회">현장명!$N$45:$N$49</definedName>
    <definedName name="수7월1회">현장명!$O$45:$O$49</definedName>
    <definedName name="수7월2회">현장명!$P$45:$P$49</definedName>
    <definedName name="수8월1회">현장명!$Q$45:$Q$49</definedName>
    <definedName name="수8월2회">현장명!$R$45:$R$49</definedName>
    <definedName name="수9월1회">현장명!$S$45:$S$49</definedName>
    <definedName name="수9월2회">현장명!$T$45:$T$49</definedName>
    <definedName name="유입10월">현장명!$U$5:$U$35</definedName>
    <definedName name="유입11월">현장명!$W$5:$W$34</definedName>
    <definedName name="유입12월">현장명!$Y$5:$Y$35</definedName>
    <definedName name="유입1월">현장명!$C$5:$C$35</definedName>
    <definedName name="유입2월">현장명!$E$5:$E$33</definedName>
    <definedName name="유입3월">현장명!$G$5:$G$35</definedName>
    <definedName name="유입4월">현장명!$I$5:$I$34</definedName>
    <definedName name="유입5월">현장명!$K$5:$K$35</definedName>
    <definedName name="유입6월">현장명!$M$5:$M$34</definedName>
    <definedName name="유입7월">현장명!$O$5:$O$35</definedName>
    <definedName name="유입8월">현장명!$Q$5:$Q$35</definedName>
    <definedName name="유입9월">현장명!$S$5:$S$34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Z39" i="1"/>
  <c r="Y39" i="1"/>
  <c r="X39" i="1"/>
  <c r="W39" i="1"/>
  <c r="Z38" i="1"/>
  <c r="Y38" i="1"/>
  <c r="X38" i="1"/>
  <c r="W38" i="1"/>
  <c r="Z37" i="1"/>
  <c r="Y37" i="1"/>
  <c r="X37" i="1"/>
  <c r="W37" i="1"/>
  <c r="Z36" i="1"/>
  <c r="Y36" i="1"/>
  <c r="X36" i="1"/>
  <c r="W36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</calcChain>
</file>

<file path=xl/sharedStrings.xml><?xml version="1.0" encoding="utf-8"?>
<sst xmlns="http://schemas.openxmlformats.org/spreadsheetml/2006/main" count="122" uniqueCount="61">
  <si>
    <t>유량 DATA</t>
    <phoneticPr fontId="2" type="noConversion"/>
  </si>
  <si>
    <t>구분</t>
    <phoneticPr fontId="2" type="noConversion"/>
  </si>
  <si>
    <t>2023년</t>
    <phoneticPr fontId="2" type="noConversion"/>
  </si>
  <si>
    <t>상반기 조사범위와 1개월 겹치게 ~ 점검 이전달까지</t>
    <phoneticPr fontId="2" type="noConversion"/>
  </si>
  <si>
    <t>유입</t>
    <phoneticPr fontId="2" type="noConversion"/>
  </si>
  <si>
    <t>유출</t>
    <phoneticPr fontId="2" type="noConversion"/>
  </si>
  <si>
    <t>1월</t>
  </si>
  <si>
    <t>2월</t>
  </si>
  <si>
    <t>3월</t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</si>
  <si>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</si>
  <si>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</si>
  <si>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</si>
  <si>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</si>
  <si>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</si>
  <si>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</si>
  <si>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</si>
  <si>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1일</t>
    <phoneticPr fontId="2" type="noConversion"/>
  </si>
  <si>
    <t>2일</t>
    <phoneticPr fontId="2" type="noConversion"/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</si>
  <si>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</si>
  <si>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</si>
  <si>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</si>
  <si>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</si>
  <si>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</si>
  <si>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</si>
  <si>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</si>
  <si>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</si>
  <si>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</si>
  <si>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</si>
  <si>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</si>
  <si>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</si>
  <si>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</si>
  <si>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</si>
  <si>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</si>
  <si>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</si>
  <si>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</si>
  <si>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</si>
  <si>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</si>
  <si>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</si>
  <si>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</si>
  <si>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</si>
  <si>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</si>
  <si>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</si>
  <si>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</si>
  <si>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</si>
  <si>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</si>
  <si>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</si>
  <si>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</si>
  <si>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합계</t>
    <phoneticPr fontId="2" type="noConversion"/>
  </si>
  <si>
    <t>최대</t>
    <phoneticPr fontId="2" type="noConversion"/>
  </si>
  <si>
    <t>최소</t>
    <phoneticPr fontId="2" type="noConversion"/>
  </si>
  <si>
    <t>평균</t>
    <phoneticPr fontId="2" type="noConversion"/>
  </si>
  <si>
    <t>방류수질검사 결과</t>
    <phoneticPr fontId="2" type="noConversion"/>
  </si>
  <si>
    <t>1회</t>
    <phoneticPr fontId="2" type="noConversion"/>
  </si>
  <si>
    <t>2회</t>
    <phoneticPr fontId="2" type="noConversion"/>
  </si>
  <si>
    <t>BOD</t>
    <phoneticPr fontId="2" type="noConversion"/>
  </si>
  <si>
    <t>T-N</t>
    <phoneticPr fontId="2" type="noConversion"/>
  </si>
  <si>
    <t>T-P</t>
    <phoneticPr fontId="2" type="noConversion"/>
  </si>
  <si>
    <t>SS</t>
    <phoneticPr fontId="2" type="noConversion"/>
  </si>
  <si>
    <t>대장균</t>
    <phoneticPr fontId="2" type="noConversion"/>
  </si>
  <si>
    <t>11월</t>
    <phoneticPr fontId="2" type="noConversion"/>
  </si>
  <si>
    <t>12월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</si>
</sst>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6415-8D60-4AD6-8658-698B33F32ED2}">
  <sheetPr>
    <tabColor rgb="FFFFFF00"/>
  </sheetPr>
  <dimension ref="B1:AF59"/>
  <sheetViews>
    <sheetView tabSelected="1" zoomScaleNormal="100" workbookViewId="0">
      <pane xSplit="2" ySplit="4" topLeftCell="C26" activePane="bottomRight" state="frozen"/>
      <selection activeCell="D1" sqref="D1"/>
      <selection pane="topRight" activeCell="F1" sqref="F1"/>
      <selection pane="bottomLeft" activeCell="D5" sqref="D5"/>
      <selection pane="bottomRight" activeCell="G52" sqref="G52"/>
    </sheetView>
  </sheetViews>
  <sheetFormatPr defaultColWidth="9" defaultRowHeight="17.399999999999999" x14ac:dyDescent="0.4"/>
  <cols>
    <col min="1" max="1" width="2.19921875" style="1" customWidth="1"/>
    <col min="2" max="16384" width="9" style="1"/>
  </cols>
  <sheetData>
    <row r="1" spans="2:32" x14ac:dyDescent="0.4">
      <c r="B1" s="10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2:32" x14ac:dyDescent="0.4">
      <c r="B2" s="2" t="s">
        <v>1</v>
      </c>
      <c r="C2" s="13" t="s">
        <v>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B2" s="3" t="s">
        <v>3</v>
      </c>
      <c r="AC2" s="4"/>
      <c r="AD2" s="4"/>
      <c r="AE2" s="4"/>
      <c r="AF2" s="4"/>
    </row>
    <row r="3" spans="2:32" x14ac:dyDescent="0.4">
      <c r="B3" s="2"/>
      <c r="C3" s="2" t="s">
        <v>6</v>
      </c>
      <c r="D3" s="2"/>
      <c r="E3" s="2" t="s">
        <v>7</v>
      </c>
      <c r="F3" s="2"/>
      <c r="G3" s="2" t="s">
        <v>8</v>
      </c>
      <c r="H3" s="2"/>
      <c r="I3" s="2" t="s">
        <v>9</v>
      </c>
      <c r="J3" s="2"/>
      <c r="K3" s="2" t="s">
        <v>10</v>
      </c>
      <c r="L3" s="2"/>
      <c r="M3" s="2" t="s">
        <v>11</v>
      </c>
      <c r="N3" s="2"/>
      <c r="O3" s="2" t="s">
        <v>12</v>
      </c>
      <c r="P3" s="2"/>
      <c r="Q3" s="2" t="s">
        <v>13</v>
      </c>
      <c r="R3" s="2"/>
      <c r="S3" s="2" t="s">
        <v>14</v>
      </c>
      <c r="T3" s="2"/>
      <c r="U3" s="2" t="s">
        <v>15</v>
      </c>
      <c r="V3" s="2"/>
      <c r="W3" s="2" t="s">
        <v>59</v>
      </c>
      <c r="X3" s="2"/>
      <c r="Y3" s="2" t="s">
        <v>60</v>
      </c>
      <c r="Z3" s="2"/>
    </row>
    <row r="4" spans="2:32" x14ac:dyDescent="0.4">
      <c r="B4" s="2"/>
      <c r="C4" s="5" t="s">
        <v>4</v>
      </c>
      <c r="D4" s="5" t="s">
        <v>5</v>
      </c>
      <c r="E4" s="5" t="s">
        <v>4</v>
      </c>
      <c r="F4" s="5" t="s">
        <v>5</v>
      </c>
      <c r="G4" s="5" t="s">
        <v>4</v>
      </c>
      <c r="H4" s="5" t="s">
        <v>5</v>
      </c>
      <c r="I4" s="5" t="s">
        <v>4</v>
      </c>
      <c r="J4" s="5" t="s">
        <v>5</v>
      </c>
      <c r="K4" s="5" t="s">
        <v>4</v>
      </c>
      <c r="L4" s="5" t="s">
        <v>5</v>
      </c>
      <c r="M4" s="5" t="s">
        <v>4</v>
      </c>
      <c r="N4" s="5" t="s">
        <v>5</v>
      </c>
      <c r="O4" s="5" t="s">
        <v>4</v>
      </c>
      <c r="P4" s="5" t="s">
        <v>5</v>
      </c>
      <c r="Q4" s="5" t="s">
        <v>4</v>
      </c>
      <c r="R4" s="5" t="s">
        <v>5</v>
      </c>
      <c r="S4" s="5" t="s">
        <v>4</v>
      </c>
      <c r="T4" s="5" t="s">
        <v>5</v>
      </c>
      <c r="U4" s="5" t="s">
        <v>4</v>
      </c>
      <c r="V4" s="5" t="s">
        <v>5</v>
      </c>
      <c r="W4" s="5" t="s">
        <v>4</v>
      </c>
      <c r="X4" s="5" t="s">
        <v>5</v>
      </c>
      <c r="Y4" s="5" t="s">
        <v>4</v>
      </c>
      <c r="Z4" s="5" t="s">
        <v>5</v>
      </c>
    </row>
    <row r="5" spans="2:32" x14ac:dyDescent="0.4">
      <c r="B5" s="5" t="s">
        <v>16</v>
      </c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32" x14ac:dyDescent="0.4">
      <c r="B6" s="5" t="s">
        <v>17</v>
      </c>
      <c r="C6" s="5"/>
      <c r="D6" s="5"/>
      <c r="E6" s="5"/>
      <c r="F6" s="5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32" x14ac:dyDescent="0.4">
      <c r="B7" s="5" t="s">
        <v>18</v>
      </c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2:32" x14ac:dyDescent="0.4">
      <c r="B8" s="5" t="s">
        <v>19</v>
      </c>
      <c r="C8" s="5"/>
      <c r="D8" s="5"/>
      <c r="E8" s="5"/>
      <c r="F8" s="5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32" x14ac:dyDescent="0.4">
      <c r="B9" s="5" t="s">
        <v>20</v>
      </c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32" x14ac:dyDescent="0.4">
      <c r="B10" s="5" t="s">
        <v>21</v>
      </c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32" x14ac:dyDescent="0.4">
      <c r="B11" s="5" t="s">
        <v>22</v>
      </c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32" x14ac:dyDescent="0.4">
      <c r="B12" s="5" t="s">
        <v>23</v>
      </c>
      <c r="C12" s="5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32" x14ac:dyDescent="0.4">
      <c r="B13" s="5" t="s">
        <v>24</v>
      </c>
      <c r="C13" s="5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32" x14ac:dyDescent="0.4">
      <c r="B14" s="5" t="s">
        <v>25</v>
      </c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32" x14ac:dyDescent="0.4">
      <c r="B15" s="5" t="s">
        <v>26</v>
      </c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32" x14ac:dyDescent="0.4">
      <c r="B16" s="5" t="s">
        <v>27</v>
      </c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x14ac:dyDescent="0.4">
      <c r="B17" s="5" t="s">
        <v>28</v>
      </c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x14ac:dyDescent="0.4">
      <c r="B18" s="5" t="s">
        <v>29</v>
      </c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x14ac:dyDescent="0.4">
      <c r="B19" s="5" t="s">
        <v>30</v>
      </c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x14ac:dyDescent="0.4">
      <c r="B20" s="5" t="s">
        <v>31</v>
      </c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x14ac:dyDescent="0.4">
      <c r="B21" s="5" t="s">
        <v>32</v>
      </c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x14ac:dyDescent="0.4">
      <c r="B22" s="5" t="s">
        <v>33</v>
      </c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x14ac:dyDescent="0.4">
      <c r="B23" s="5" t="s">
        <v>34</v>
      </c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2:26" x14ac:dyDescent="0.4">
      <c r="B24" s="5" t="s">
        <v>35</v>
      </c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2:26" x14ac:dyDescent="0.4">
      <c r="B25" s="5" t="s">
        <v>36</v>
      </c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x14ac:dyDescent="0.4">
      <c r="B26" s="5" t="s">
        <v>37</v>
      </c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x14ac:dyDescent="0.4">
      <c r="B27" s="5" t="s">
        <v>38</v>
      </c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2:26" x14ac:dyDescent="0.4">
      <c r="B28" s="5" t="s">
        <v>39</v>
      </c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2:26" x14ac:dyDescent="0.4">
      <c r="B29" s="5" t="s">
        <v>40</v>
      </c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x14ac:dyDescent="0.4">
      <c r="B30" s="5" t="s">
        <v>41</v>
      </c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x14ac:dyDescent="0.4">
      <c r="B31" s="5" t="s">
        <v>42</v>
      </c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x14ac:dyDescent="0.4">
      <c r="B32" s="5" t="s">
        <v>43</v>
      </c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2:30" x14ac:dyDescent="0.4">
      <c r="B33" s="5" t="s">
        <v>44</v>
      </c>
      <c r="C33" s="5"/>
      <c r="D33" s="5"/>
      <c r="E33" s="8"/>
      <c r="F33" s="8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7"/>
      <c r="U33" s="6"/>
      <c r="V33" s="6"/>
      <c r="W33" s="7"/>
      <c r="X33" s="7"/>
      <c r="Y33" s="6"/>
      <c r="Z33" s="6"/>
    </row>
    <row r="34" spans="2:30" x14ac:dyDescent="0.4">
      <c r="B34" s="5" t="s">
        <v>45</v>
      </c>
      <c r="C34" s="5"/>
      <c r="D34" s="5"/>
      <c r="E34" s="8"/>
      <c r="F34" s="8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7"/>
      <c r="U34" s="6"/>
      <c r="V34" s="6"/>
      <c r="W34" s="7"/>
      <c r="X34" s="7"/>
      <c r="Y34" s="6"/>
      <c r="Z34" s="6"/>
    </row>
    <row r="35" spans="2:30" x14ac:dyDescent="0.4">
      <c r="B35" s="5" t="s">
        <v>46</v>
      </c>
      <c r="C35" s="5"/>
      <c r="D35" s="5"/>
      <c r="E35" s="8"/>
      <c r="F35" s="8"/>
      <c r="G35" s="5"/>
      <c r="H35" s="5"/>
      <c r="I35" s="8"/>
      <c r="J35" s="8"/>
      <c r="K35" s="6"/>
      <c r="L35" s="6"/>
      <c r="M35" s="8"/>
      <c r="N35" s="8"/>
      <c r="O35" s="6"/>
      <c r="P35" s="6"/>
      <c r="Q35" s="6"/>
      <c r="R35" s="6"/>
      <c r="S35" s="8"/>
      <c r="T35" s="8"/>
      <c r="U35" s="6"/>
      <c r="V35" s="6"/>
      <c r="W35" s="8"/>
      <c r="X35" s="8"/>
      <c r="Y35" s="6"/>
      <c r="Z35" s="6"/>
    </row>
    <row r="36" spans="2:30" x14ac:dyDescent="0.4">
      <c r="B36" s="5" t="s">
        <v>47</v>
      </c>
      <c r="C36" s="9">
        <f>SUM(C5:C35)</f>
        <v>0</v>
      </c>
      <c r="D36" s="9">
        <f t="shared" ref="D36:V36" si="0">SUM(D5:D35)</f>
        <v>0</v>
      </c>
      <c r="E36" s="9">
        <f t="shared" si="0"/>
        <v>0</v>
      </c>
      <c r="F36" s="9">
        <f t="shared" si="0"/>
        <v>0</v>
      </c>
      <c r="G36" s="9">
        <f t="shared" si="0"/>
        <v>0</v>
      </c>
      <c r="H36" s="9">
        <f t="shared" si="0"/>
        <v>0</v>
      </c>
      <c r="I36" s="9">
        <f t="shared" si="0"/>
        <v>0</v>
      </c>
      <c r="J36" s="9">
        <f t="shared" si="0"/>
        <v>0</v>
      </c>
      <c r="K36" s="9">
        <f t="shared" si="0"/>
        <v>0</v>
      </c>
      <c r="L36" s="9">
        <f t="shared" si="0"/>
        <v>0</v>
      </c>
      <c r="M36" s="9">
        <f t="shared" si="0"/>
        <v>0</v>
      </c>
      <c r="N36" s="9">
        <f t="shared" si="0"/>
        <v>0</v>
      </c>
      <c r="O36" s="9">
        <f t="shared" si="0"/>
        <v>0</v>
      </c>
      <c r="P36" s="9">
        <f t="shared" si="0"/>
        <v>0</v>
      </c>
      <c r="Q36" s="9">
        <f t="shared" si="0"/>
        <v>0</v>
      </c>
      <c r="R36" s="9">
        <f t="shared" si="0"/>
        <v>0</v>
      </c>
      <c r="S36" s="9">
        <f t="shared" si="0"/>
        <v>0</v>
      </c>
      <c r="T36" s="9">
        <f t="shared" si="0"/>
        <v>0</v>
      </c>
      <c r="U36" s="9">
        <f t="shared" si="0"/>
        <v>0</v>
      </c>
      <c r="V36" s="9">
        <f t="shared" si="0"/>
        <v>0</v>
      </c>
      <c r="W36" s="9">
        <f t="shared" ref="W36:Z36" si="1">SUM(W5:W35)</f>
        <v>0</v>
      </c>
      <c r="X36" s="9">
        <f t="shared" si="1"/>
        <v>0</v>
      </c>
      <c r="Y36" s="9">
        <f t="shared" si="1"/>
        <v>0</v>
      </c>
      <c r="Z36" s="9">
        <f t="shared" si="1"/>
        <v>0</v>
      </c>
    </row>
    <row r="37" spans="2:30" x14ac:dyDescent="0.4">
      <c r="B37" s="5" t="s">
        <v>48</v>
      </c>
      <c r="C37" s="5">
        <f t="shared" ref="C37:H37" si="2">MAX(C5:C35)</f>
        <v>0</v>
      </c>
      <c r="D37" s="5">
        <f t="shared" si="2"/>
        <v>0</v>
      </c>
      <c r="E37" s="5">
        <f t="shared" si="2"/>
        <v>0</v>
      </c>
      <c r="F37" s="5">
        <f t="shared" si="2"/>
        <v>0</v>
      </c>
      <c r="G37" s="5">
        <f t="shared" si="2"/>
        <v>0</v>
      </c>
      <c r="H37" s="5">
        <f t="shared" si="2"/>
        <v>0</v>
      </c>
      <c r="I37" s="5">
        <f t="shared" ref="I37:V37" si="3">MAX(I5:I35)</f>
        <v>0</v>
      </c>
      <c r="J37" s="5">
        <f t="shared" si="3"/>
        <v>0</v>
      </c>
      <c r="K37" s="5">
        <f t="shared" si="3"/>
        <v>0</v>
      </c>
      <c r="L37" s="5">
        <f t="shared" si="3"/>
        <v>0</v>
      </c>
      <c r="M37" s="5">
        <f t="shared" si="3"/>
        <v>0</v>
      </c>
      <c r="N37" s="5">
        <f t="shared" si="3"/>
        <v>0</v>
      </c>
      <c r="O37" s="5">
        <f t="shared" si="3"/>
        <v>0</v>
      </c>
      <c r="P37" s="5">
        <f t="shared" si="3"/>
        <v>0</v>
      </c>
      <c r="Q37" s="5">
        <f t="shared" si="3"/>
        <v>0</v>
      </c>
      <c r="R37" s="5">
        <f t="shared" si="3"/>
        <v>0</v>
      </c>
      <c r="S37" s="5">
        <f t="shared" si="3"/>
        <v>0</v>
      </c>
      <c r="T37" s="5">
        <f t="shared" si="3"/>
        <v>0</v>
      </c>
      <c r="U37" s="5">
        <f t="shared" si="3"/>
        <v>0</v>
      </c>
      <c r="V37" s="5">
        <f t="shared" si="3"/>
        <v>0</v>
      </c>
      <c r="W37" s="5">
        <f t="shared" ref="W37:Z37" si="4">MAX(W5:W35)</f>
        <v>0</v>
      </c>
      <c r="X37" s="5">
        <f t="shared" si="4"/>
        <v>0</v>
      </c>
      <c r="Y37" s="5">
        <f t="shared" si="4"/>
        <v>0</v>
      </c>
      <c r="Z37" s="5">
        <f t="shared" si="4"/>
        <v>0</v>
      </c>
    </row>
    <row r="38" spans="2:30" x14ac:dyDescent="0.4">
      <c r="B38" s="5" t="s">
        <v>49</v>
      </c>
      <c r="C38" s="5">
        <f t="shared" ref="C38:H38" si="5">MIN(C5:C35)</f>
        <v>0</v>
      </c>
      <c r="D38" s="5">
        <f t="shared" si="5"/>
        <v>0</v>
      </c>
      <c r="E38" s="5">
        <f t="shared" si="5"/>
        <v>0</v>
      </c>
      <c r="F38" s="5">
        <f t="shared" si="5"/>
        <v>0</v>
      </c>
      <c r="G38" s="5">
        <f t="shared" si="5"/>
        <v>0</v>
      </c>
      <c r="H38" s="5">
        <f t="shared" si="5"/>
        <v>0</v>
      </c>
      <c r="I38" s="5">
        <f t="shared" ref="I38:V38" si="6">MIN(I5:I35)</f>
        <v>0</v>
      </c>
      <c r="J38" s="5">
        <f t="shared" si="6"/>
        <v>0</v>
      </c>
      <c r="K38" s="5">
        <f t="shared" si="6"/>
        <v>0</v>
      </c>
      <c r="L38" s="5">
        <f t="shared" si="6"/>
        <v>0</v>
      </c>
      <c r="M38" s="5">
        <f t="shared" si="6"/>
        <v>0</v>
      </c>
      <c r="N38" s="5">
        <f t="shared" si="6"/>
        <v>0</v>
      </c>
      <c r="O38" s="5">
        <f t="shared" si="6"/>
        <v>0</v>
      </c>
      <c r="P38" s="5">
        <f t="shared" si="6"/>
        <v>0</v>
      </c>
      <c r="Q38" s="5">
        <f t="shared" si="6"/>
        <v>0</v>
      </c>
      <c r="R38" s="5">
        <f t="shared" si="6"/>
        <v>0</v>
      </c>
      <c r="S38" s="5">
        <f t="shared" si="6"/>
        <v>0</v>
      </c>
      <c r="T38" s="5">
        <f t="shared" si="6"/>
        <v>0</v>
      </c>
      <c r="U38" s="5">
        <f t="shared" si="6"/>
        <v>0</v>
      </c>
      <c r="V38" s="5">
        <f t="shared" si="6"/>
        <v>0</v>
      </c>
      <c r="W38" s="5">
        <f t="shared" ref="W38:Z38" si="7">MIN(W5:W35)</f>
        <v>0</v>
      </c>
      <c r="X38" s="5">
        <f t="shared" si="7"/>
        <v>0</v>
      </c>
      <c r="Y38" s="5">
        <f t="shared" si="7"/>
        <v>0</v>
      </c>
      <c r="Z38" s="5">
        <f t="shared" si="7"/>
        <v>0</v>
      </c>
    </row>
    <row r="39" spans="2:30" x14ac:dyDescent="0.4">
      <c r="B39" s="5" t="s">
        <v>50</v>
      </c>
      <c r="C39" s="5" t="e">
        <f t="shared" ref="C39:H39" si="8">AVERAGE(C5:C35)</f>
        <v>#DIV/0!</v>
      </c>
      <c r="D39" s="5" t="e">
        <f t="shared" si="8"/>
        <v>#DIV/0!</v>
      </c>
      <c r="E39" s="5" t="e">
        <f t="shared" si="8"/>
        <v>#DIV/0!</v>
      </c>
      <c r="F39" s="5" t="e">
        <f t="shared" si="8"/>
        <v>#DIV/0!</v>
      </c>
      <c r="G39" s="5" t="e">
        <f t="shared" si="8"/>
        <v>#DIV/0!</v>
      </c>
      <c r="H39" s="5" t="e">
        <f t="shared" si="8"/>
        <v>#DIV/0!</v>
      </c>
      <c r="I39" s="5" t="e">
        <f t="shared" ref="I39:V39" si="9">AVERAGE(I5:I35)</f>
        <v>#DIV/0!</v>
      </c>
      <c r="J39" s="5" t="e">
        <f t="shared" si="9"/>
        <v>#DIV/0!</v>
      </c>
      <c r="K39" s="5" t="e">
        <f t="shared" si="9"/>
        <v>#DIV/0!</v>
      </c>
      <c r="L39" s="5" t="e">
        <f t="shared" si="9"/>
        <v>#DIV/0!</v>
      </c>
      <c r="M39" s="5" t="e">
        <f t="shared" si="9"/>
        <v>#DIV/0!</v>
      </c>
      <c r="N39" s="5" t="e">
        <f t="shared" si="9"/>
        <v>#DIV/0!</v>
      </c>
      <c r="O39" s="5" t="e">
        <f t="shared" si="9"/>
        <v>#DIV/0!</v>
      </c>
      <c r="P39" s="5" t="e">
        <f t="shared" si="9"/>
        <v>#DIV/0!</v>
      </c>
      <c r="Q39" s="5" t="e">
        <f t="shared" si="9"/>
        <v>#DIV/0!</v>
      </c>
      <c r="R39" s="5" t="e">
        <f t="shared" si="9"/>
        <v>#DIV/0!</v>
      </c>
      <c r="S39" s="5" t="e">
        <f t="shared" si="9"/>
        <v>#DIV/0!</v>
      </c>
      <c r="T39" s="5" t="e">
        <f t="shared" si="9"/>
        <v>#DIV/0!</v>
      </c>
      <c r="U39" s="5" t="e">
        <f t="shared" si="9"/>
        <v>#DIV/0!</v>
      </c>
      <c r="V39" s="5" t="e">
        <f t="shared" si="9"/>
        <v>#DIV/0!</v>
      </c>
      <c r="W39" s="5" t="e">
        <f t="shared" ref="W39:Z39" si="10">AVERAGE(W5:W35)</f>
        <v>#DIV/0!</v>
      </c>
      <c r="X39" s="5" t="e">
        <f t="shared" si="10"/>
        <v>#DIV/0!</v>
      </c>
      <c r="Y39" s="5" t="e">
        <f t="shared" si="10"/>
        <v>#DIV/0!</v>
      </c>
      <c r="Z39" s="5" t="e">
        <f t="shared" si="10"/>
        <v>#DIV/0!</v>
      </c>
    </row>
    <row r="41" spans="2:30" x14ac:dyDescent="0.4">
      <c r="B41" s="10" t="s">
        <v>51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23"/>
      <c r="X41" s="23"/>
      <c r="Y41" s="23"/>
      <c r="Z41" s="23"/>
    </row>
    <row r="42" spans="2:30" ht="16.5" customHeight="1" x14ac:dyDescent="0.4">
      <c r="B42" s="12" t="s">
        <v>1</v>
      </c>
      <c r="C42" s="13" t="s">
        <v>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5"/>
      <c r="W42" s="24"/>
      <c r="X42" s="24"/>
      <c r="Y42" s="24"/>
      <c r="Z42" s="24"/>
      <c r="AA42" s="12" t="s">
        <v>48</v>
      </c>
      <c r="AB42" s="2" t="s">
        <v>49</v>
      </c>
      <c r="AC42" s="5" t="s">
        <v>50</v>
      </c>
      <c r="AD42" s="16"/>
    </row>
    <row r="43" spans="2:30" x14ac:dyDescent="0.4">
      <c r="B43" s="17"/>
      <c r="C43" s="2" t="s">
        <v>6</v>
      </c>
      <c r="D43" s="2"/>
      <c r="E43" s="2" t="s">
        <v>7</v>
      </c>
      <c r="F43" s="2"/>
      <c r="G43" s="2" t="s">
        <v>8</v>
      </c>
      <c r="H43" s="2"/>
      <c r="I43" s="2" t="s">
        <v>9</v>
      </c>
      <c r="J43" s="2"/>
      <c r="K43" s="2" t="s">
        <v>10</v>
      </c>
      <c r="L43" s="2"/>
      <c r="M43" s="2" t="s">
        <v>11</v>
      </c>
      <c r="N43" s="2"/>
      <c r="O43" s="2" t="s">
        <v>12</v>
      </c>
      <c r="P43" s="2"/>
      <c r="Q43" s="2" t="s">
        <v>13</v>
      </c>
      <c r="R43" s="2"/>
      <c r="S43" s="2" t="s">
        <v>14</v>
      </c>
      <c r="T43" s="2"/>
      <c r="U43" s="2" t="s">
        <v>15</v>
      </c>
      <c r="V43" s="2"/>
      <c r="W43" s="2" t="s">
        <v>59</v>
      </c>
      <c r="X43" s="2"/>
      <c r="Y43" s="2" t="s">
        <v>60</v>
      </c>
      <c r="Z43" s="2"/>
      <c r="AA43" s="17"/>
      <c r="AB43" s="2"/>
      <c r="AC43" s="5"/>
      <c r="AD43" s="16"/>
    </row>
    <row r="44" spans="2:30" x14ac:dyDescent="0.4">
      <c r="B44" s="18"/>
      <c r="C44" s="19" t="s">
        <v>52</v>
      </c>
      <c r="D44" s="19" t="s">
        <v>53</v>
      </c>
      <c r="E44" s="19" t="s">
        <v>52</v>
      </c>
      <c r="F44" s="19" t="s">
        <v>53</v>
      </c>
      <c r="G44" s="19" t="s">
        <v>52</v>
      </c>
      <c r="H44" s="19" t="s">
        <v>53</v>
      </c>
      <c r="I44" s="19" t="s">
        <v>52</v>
      </c>
      <c r="J44" s="19" t="s">
        <v>53</v>
      </c>
      <c r="K44" s="19" t="s">
        <v>52</v>
      </c>
      <c r="L44" s="19" t="s">
        <v>53</v>
      </c>
      <c r="M44" s="19" t="s">
        <v>52</v>
      </c>
      <c r="N44" s="19" t="s">
        <v>53</v>
      </c>
      <c r="O44" s="19" t="s">
        <v>52</v>
      </c>
      <c r="P44" s="19" t="s">
        <v>53</v>
      </c>
      <c r="Q44" s="19" t="s">
        <v>52</v>
      </c>
      <c r="R44" s="19" t="s">
        <v>53</v>
      </c>
      <c r="S44" s="19" t="s">
        <v>52</v>
      </c>
      <c r="T44" s="19" t="s">
        <v>53</v>
      </c>
      <c r="U44" s="19" t="s">
        <v>52</v>
      </c>
      <c r="V44" s="19" t="s">
        <v>53</v>
      </c>
      <c r="W44" s="19" t="s">
        <v>52</v>
      </c>
      <c r="X44" s="19" t="s">
        <v>53</v>
      </c>
      <c r="Y44" s="19" t="s">
        <v>52</v>
      </c>
      <c r="Z44" s="19" t="s">
        <v>53</v>
      </c>
      <c r="AA44" s="18"/>
      <c r="AB44" s="2"/>
      <c r="AC44" s="5"/>
      <c r="AD44" s="16"/>
    </row>
    <row r="45" spans="2:30" x14ac:dyDescent="0.4">
      <c r="B45" s="20" t="s">
        <v>54</v>
      </c>
      <c r="C45" s="20"/>
      <c r="D45" s="20"/>
      <c r="E45" s="20"/>
      <c r="F45" s="20"/>
      <c r="G45" s="20"/>
      <c r="H45" s="2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21">
        <f>MAX(I45:V45)</f>
        <v>0</v>
      </c>
      <c r="AB45" s="22">
        <f>MIN(I45:V45)</f>
        <v>0</v>
      </c>
      <c r="AC45" s="22" t="e">
        <f>AVERAGE(I45:V45)</f>
        <v>#DIV/0!</v>
      </c>
    </row>
    <row r="46" spans="2:30" x14ac:dyDescent="0.4">
      <c r="B46" s="20" t="s">
        <v>55</v>
      </c>
      <c r="C46" s="20"/>
      <c r="D46" s="20"/>
      <c r="E46" s="20"/>
      <c r="F46" s="20"/>
      <c r="G46" s="20"/>
      <c r="H46" s="2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21">
        <f>MAX(I46:V46)</f>
        <v>0</v>
      </c>
      <c r="AB46" s="22">
        <f>MIN(I46:V46)</f>
        <v>0</v>
      </c>
      <c r="AC46" s="22" t="e">
        <f>AVERAGE(I46:V46)</f>
        <v>#DIV/0!</v>
      </c>
    </row>
    <row r="47" spans="2:30" x14ac:dyDescent="0.4">
      <c r="B47" s="20" t="s">
        <v>56</v>
      </c>
      <c r="C47" s="20"/>
      <c r="D47" s="20"/>
      <c r="E47" s="20"/>
      <c r="F47" s="20"/>
      <c r="G47" s="20"/>
      <c r="H47" s="2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1">
        <f>MAX(I47:V47)</f>
        <v>0</v>
      </c>
      <c r="AB47" s="22">
        <f>MIN(I47:V47)</f>
        <v>0</v>
      </c>
      <c r="AC47" s="22" t="e">
        <f>AVERAGE(I47:V47)</f>
        <v>#DIV/0!</v>
      </c>
    </row>
    <row r="48" spans="2:30" x14ac:dyDescent="0.4">
      <c r="B48" s="20" t="s">
        <v>57</v>
      </c>
      <c r="C48" s="20"/>
      <c r="D48" s="20"/>
      <c r="E48" s="20"/>
      <c r="F48" s="20"/>
      <c r="G48" s="20"/>
      <c r="H48" s="2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1">
        <f>MAX(I48:V48)</f>
        <v>0</v>
      </c>
      <c r="AB48" s="22">
        <f>MIN(I48:V48)</f>
        <v>0</v>
      </c>
      <c r="AC48" s="22" t="e">
        <f>AVERAGE(I48:V48)</f>
        <v>#DIV/0!</v>
      </c>
    </row>
    <row r="49" spans="2:29" x14ac:dyDescent="0.4">
      <c r="B49" s="20" t="s">
        <v>58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5"/>
      <c r="AA49" s="21">
        <f>MAX(I49:V49)</f>
        <v>0</v>
      </c>
      <c r="AB49" s="22">
        <f>MIN(I49:V49)</f>
        <v>0</v>
      </c>
      <c r="AC49" s="22" t="e">
        <f>AVERAGE(I49:V49)</f>
        <v>#DIV/0!</v>
      </c>
    </row>
    <row r="58" spans="2:29" ht="16.5" customHeight="1" x14ac:dyDescent="0.4"/>
    <row r="59" spans="2:29" ht="16.5" customHeight="1" x14ac:dyDescent="0.4"/>
  </sheetData>
  <mergeCells count="32">
    <mergeCell ref="C2:Z2"/>
    <mergeCell ref="B1:Z1"/>
    <mergeCell ref="O43:P43"/>
    <mergeCell ref="Q43:R43"/>
    <mergeCell ref="S43:T43"/>
    <mergeCell ref="U43:V43"/>
    <mergeCell ref="W3:X3"/>
    <mergeCell ref="Y3:Z3"/>
    <mergeCell ref="W43:X43"/>
    <mergeCell ref="Y43:Z43"/>
    <mergeCell ref="B42:B44"/>
    <mergeCell ref="C42:V42"/>
    <mergeCell ref="AA42:AA44"/>
    <mergeCell ref="AB42:AB44"/>
    <mergeCell ref="C43:D43"/>
    <mergeCell ref="E43:F43"/>
    <mergeCell ref="G43:H43"/>
    <mergeCell ref="I43:J43"/>
    <mergeCell ref="K43:L43"/>
    <mergeCell ref="M43:N43"/>
    <mergeCell ref="M3:N3"/>
    <mergeCell ref="O3:P3"/>
    <mergeCell ref="Q3:R3"/>
    <mergeCell ref="S3:T3"/>
    <mergeCell ref="U3:V3"/>
    <mergeCell ref="B41:V41"/>
    <mergeCell ref="B2:B4"/>
    <mergeCell ref="C3:D3"/>
    <mergeCell ref="E3:F3"/>
    <mergeCell ref="G3:H3"/>
    <mergeCell ref="I3:J3"/>
    <mergeCell ref="K3:L3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49</vt:i4>
      </vt:variant>
    </vt:vector>
  </HeadingPairs>
  <TitlesOfParts>
    <vt:vector size="50" baseType="lpstr">
      <vt:lpstr>현장명</vt:lpstr>
      <vt:lpstr>년도</vt:lpstr>
      <vt:lpstr>방류10월</vt:lpstr>
      <vt:lpstr>방류11월</vt:lpstr>
      <vt:lpstr>방류12월</vt:lpstr>
      <vt:lpstr>방류1월</vt:lpstr>
      <vt:lpstr>방류2월</vt:lpstr>
      <vt:lpstr>방류3월</vt:lpstr>
      <vt:lpstr>방류4월</vt:lpstr>
      <vt:lpstr>방류5월</vt:lpstr>
      <vt:lpstr>방류6월</vt:lpstr>
      <vt:lpstr>방류7월</vt:lpstr>
      <vt:lpstr>방류8월</vt:lpstr>
      <vt:lpstr>방류9월</vt:lpstr>
      <vt:lpstr>수10월1회</vt:lpstr>
      <vt:lpstr>수10월2회</vt:lpstr>
      <vt:lpstr>수11월1회</vt:lpstr>
      <vt:lpstr>수11월2회</vt:lpstr>
      <vt:lpstr>수12월1회</vt:lpstr>
      <vt:lpstr>수12월2회</vt:lpstr>
      <vt:lpstr>수1월1회</vt:lpstr>
      <vt:lpstr>수1월2회</vt:lpstr>
      <vt:lpstr>수2월1회</vt:lpstr>
      <vt:lpstr>수2월2회</vt:lpstr>
      <vt:lpstr>수3월1회</vt:lpstr>
      <vt:lpstr>수3월2회</vt:lpstr>
      <vt:lpstr>수4월1회</vt:lpstr>
      <vt:lpstr>수4월2회</vt:lpstr>
      <vt:lpstr>수5월1회</vt:lpstr>
      <vt:lpstr>수5월2회</vt:lpstr>
      <vt:lpstr>수6월1회</vt:lpstr>
      <vt:lpstr>수6월2회</vt:lpstr>
      <vt:lpstr>수7월1회</vt:lpstr>
      <vt:lpstr>수7월2회</vt:lpstr>
      <vt:lpstr>수8월1회</vt:lpstr>
      <vt:lpstr>수8월2회</vt:lpstr>
      <vt:lpstr>수9월1회</vt:lpstr>
      <vt:lpstr>수9월2회</vt:lpstr>
      <vt:lpstr>유입10월</vt:lpstr>
      <vt:lpstr>유입11월</vt:lpstr>
      <vt:lpstr>유입12월</vt:lpstr>
      <vt:lpstr>유입1월</vt:lpstr>
      <vt:lpstr>유입2월</vt:lpstr>
      <vt:lpstr>유입3월</vt:lpstr>
      <vt:lpstr>유입4월</vt:lpstr>
      <vt:lpstr>유입5월</vt:lpstr>
      <vt:lpstr>유입6월</vt:lpstr>
      <vt:lpstr>유입7월</vt:lpstr>
      <vt:lpstr>유입8월</vt:lpstr>
      <vt:lpstr>유입9월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dcterms:created xsi:type="dcterms:W3CDTF">2026-07-19T05:23:57Z</dcterms:created>
  <dcterms:modified xsi:type="dcterms:W3CDTF">2026-07-19T05:51:23Z</dcterms:modified>
</cp:coreProperties>
</file>